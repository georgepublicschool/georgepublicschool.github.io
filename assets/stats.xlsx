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X" sheetId="1" r:id="rId1"/>
    <sheet name="XII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O22" i="2"/>
  <c r="O23"/>
  <c r="O24"/>
  <c r="O25"/>
  <c r="O26"/>
  <c r="O27"/>
  <c r="O28"/>
  <c r="O21"/>
  <c r="N28"/>
  <c r="N27"/>
  <c r="N26"/>
  <c r="N25"/>
  <c r="N24"/>
  <c r="N23"/>
  <c r="N22"/>
  <c r="N21"/>
  <c r="M22"/>
  <c r="M23"/>
  <c r="M24"/>
  <c r="M25"/>
  <c r="M26"/>
  <c r="M27"/>
  <c r="M28"/>
  <c r="M21"/>
  <c r="L28"/>
  <c r="L27"/>
  <c r="L26"/>
  <c r="L25"/>
  <c r="L24"/>
  <c r="L23"/>
  <c r="L22"/>
  <c r="L21"/>
  <c r="O4"/>
  <c r="O5"/>
  <c r="O6"/>
  <c r="O7"/>
  <c r="O8"/>
  <c r="O9"/>
  <c r="O10"/>
  <c r="O11"/>
  <c r="O12"/>
  <c r="O13"/>
  <c r="O14"/>
  <c r="O15"/>
  <c r="O3"/>
  <c r="M4"/>
  <c r="M5"/>
  <c r="M6"/>
  <c r="M7"/>
  <c r="M8"/>
  <c r="M9"/>
  <c r="M10"/>
  <c r="M11"/>
  <c r="M12"/>
  <c r="M13"/>
  <c r="M14"/>
  <c r="M15"/>
  <c r="M3"/>
  <c r="N15"/>
  <c r="L15"/>
  <c r="N14"/>
  <c r="L14"/>
  <c r="N13"/>
  <c r="L13"/>
  <c r="N12"/>
  <c r="L12"/>
  <c r="N11"/>
  <c r="L11"/>
  <c r="N10"/>
  <c r="L10"/>
  <c r="N9"/>
  <c r="L9"/>
  <c r="N8"/>
  <c r="L8"/>
  <c r="N7"/>
  <c r="L7"/>
  <c r="N6"/>
  <c r="L6"/>
  <c r="N5"/>
  <c r="L5"/>
  <c r="N4"/>
  <c r="L4"/>
  <c r="N3"/>
  <c r="L3"/>
  <c r="N24" i="1" l="1"/>
  <c r="L24"/>
  <c r="J24"/>
  <c r="H24"/>
  <c r="F24"/>
  <c r="D24"/>
  <c r="S5" l="1"/>
  <c r="S6"/>
  <c r="S7"/>
  <c r="S8"/>
  <c r="S9"/>
  <c r="S10"/>
  <c r="S11"/>
  <c r="S12"/>
  <c r="S13"/>
  <c r="S14"/>
  <c r="S15"/>
  <c r="S16"/>
  <c r="S17"/>
  <c r="S18"/>
  <c r="S19"/>
  <c r="S20"/>
  <c r="S21"/>
  <c r="S22"/>
  <c r="S23"/>
  <c r="S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Q4"/>
  <c r="P4"/>
</calcChain>
</file>

<file path=xl/sharedStrings.xml><?xml version="1.0" encoding="utf-8"?>
<sst xmlns="http://schemas.openxmlformats.org/spreadsheetml/2006/main" count="141" uniqueCount="81">
  <si>
    <t>Sl No</t>
  </si>
  <si>
    <t>Name Of Student</t>
  </si>
  <si>
    <t>Roll No</t>
  </si>
  <si>
    <t>English 184</t>
  </si>
  <si>
    <t>Hindi 002</t>
  </si>
  <si>
    <t>Math 041</t>
  </si>
  <si>
    <t>Sc. 086</t>
  </si>
  <si>
    <t>S. St. 087</t>
  </si>
  <si>
    <t>Comp. 165</t>
  </si>
  <si>
    <t>Th</t>
  </si>
  <si>
    <t>Prac</t>
  </si>
  <si>
    <t>Aayush Rawat</t>
  </si>
  <si>
    <t>Abhay Pratap</t>
  </si>
  <si>
    <t>Abhishek Pandey</t>
  </si>
  <si>
    <t>Aditya Negi</t>
  </si>
  <si>
    <t>Ajeet Chauhan</t>
  </si>
  <si>
    <t>Anamika</t>
  </si>
  <si>
    <t>Anish Singh Negi</t>
  </si>
  <si>
    <t>Ansh Sharma</t>
  </si>
  <si>
    <t>Ansh Singh</t>
  </si>
  <si>
    <t>Himesh Pokhriyal</t>
  </si>
  <si>
    <t>Kirti Thapa</t>
  </si>
  <si>
    <t>Kunal Yadav</t>
  </si>
  <si>
    <t>Manas Gupta</t>
  </si>
  <si>
    <t>Rohit Kushwaha</t>
  </si>
  <si>
    <t>Sanya Yadav</t>
  </si>
  <si>
    <t>Sarthak Rawat</t>
  </si>
  <si>
    <t>Shreshth Bhatt</t>
  </si>
  <si>
    <t>Shriansh Singh Negi</t>
  </si>
  <si>
    <t>Sumit Baghel</t>
  </si>
  <si>
    <t>Tashi Singh</t>
  </si>
  <si>
    <t>Tot Th</t>
  </si>
  <si>
    <t>Tot Prac</t>
  </si>
  <si>
    <t>%</t>
  </si>
  <si>
    <t>Total</t>
  </si>
  <si>
    <t>Class X Result Stat 2024-25</t>
  </si>
  <si>
    <t>Best 5</t>
  </si>
  <si>
    <t>Class XII Result 2024-25 (Science Stream)</t>
  </si>
  <si>
    <t>Sl. No.</t>
  </si>
  <si>
    <t>Name</t>
  </si>
  <si>
    <t>Eng Core</t>
  </si>
  <si>
    <t>Math</t>
  </si>
  <si>
    <t>Physics</t>
  </si>
  <si>
    <t>Chem</t>
  </si>
  <si>
    <t>Comp Sc.</t>
  </si>
  <si>
    <t>Phy Edu</t>
  </si>
  <si>
    <t>Bio</t>
  </si>
  <si>
    <t>Hindi Core</t>
  </si>
  <si>
    <t xml:space="preserve">Best 5 </t>
  </si>
  <si>
    <t>Over all</t>
  </si>
  <si>
    <t>Vansh Goel</t>
  </si>
  <si>
    <t>-</t>
  </si>
  <si>
    <t>Suhani Gupta</t>
  </si>
  <si>
    <t>Sameer Negi</t>
  </si>
  <si>
    <t>Arun Kumar Sharma</t>
  </si>
  <si>
    <t>Jiya Yadav</t>
  </si>
  <si>
    <t>Ritika Kumari</t>
  </si>
  <si>
    <t>Music</t>
  </si>
  <si>
    <t>Shaurya Ramgopal</t>
  </si>
  <si>
    <t>Ujjawal Goyal</t>
  </si>
  <si>
    <t>Shivam</t>
  </si>
  <si>
    <t>Priya Rawat</t>
  </si>
  <si>
    <t>Vanshika Yadav</t>
  </si>
  <si>
    <t>Anuj singh Rana</t>
  </si>
  <si>
    <t>Ayush Bhatt</t>
  </si>
  <si>
    <t>Anuj Singh Rana Repeat Theory Chemistry</t>
  </si>
  <si>
    <t>Ayush Bhatt Repeat Theory Physics</t>
  </si>
  <si>
    <t>Eco</t>
  </si>
  <si>
    <t>B. St.</t>
  </si>
  <si>
    <t>Acc.</t>
  </si>
  <si>
    <t>Puspender Singh</t>
  </si>
  <si>
    <t>Anish Thapa</t>
  </si>
  <si>
    <t>Mayank dhiman</t>
  </si>
  <si>
    <t>Mandeep Singh</t>
  </si>
  <si>
    <t>Rakshak Sunwar</t>
  </si>
  <si>
    <t>Aditya Kumar</t>
  </si>
  <si>
    <t>Argha Pal</t>
  </si>
  <si>
    <t>Ujjawal Kumari</t>
  </si>
  <si>
    <t>IP</t>
  </si>
  <si>
    <t>Mayank dhiman Repeat Theory Business Studies</t>
  </si>
  <si>
    <t>Class XII Result 2024-25 (Commerce Stream)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</si>
</sst>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8" xfId="0" applyNumberForma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opLeftCell="A4" workbookViewId="0">
      <selection sqref="A1:S24"/>
    </sheetView>
  </sheetViews>
  <sheetFormatPr defaultRowHeight="15"/>
  <cols>
    <col min="1" max="1" width="3.5703125" customWidth="1"/>
    <col min="2" max="2" width="18.7109375" bestFit="1" customWidth="1"/>
    <col min="3" max="3" width="9" bestFit="1" customWidth="1"/>
    <col min="4" max="4" width="5" bestFit="1" customWidth="1"/>
    <col min="5" max="5" width="7" customWidth="1"/>
    <col min="6" max="6" width="5" bestFit="1" customWidth="1"/>
    <col min="7" max="7" width="6.7109375" customWidth="1"/>
    <col min="8" max="8" width="4" bestFit="1" customWidth="1"/>
    <col min="9" max="9" width="6.5703125" customWidth="1"/>
    <col min="10" max="10" width="4" bestFit="1" customWidth="1"/>
    <col min="11" max="11" width="5" customWidth="1"/>
    <col min="12" max="12" width="4" bestFit="1" customWidth="1"/>
    <col min="13" max="13" width="4.7109375" bestFit="1" customWidth="1"/>
    <col min="14" max="14" width="4" bestFit="1" customWidth="1"/>
    <col min="15" max="15" width="6.5703125" customWidth="1"/>
    <col min="16" max="16" width="6.42578125" bestFit="1" customWidth="1"/>
    <col min="17" max="17" width="8" bestFit="1" customWidth="1"/>
    <col min="18" max="18" width="5.42578125" bestFit="1" customWidth="1"/>
    <col min="19" max="19" width="5.85546875" customWidth="1"/>
  </cols>
  <sheetData>
    <row r="1" spans="1:19" ht="21.75" thickBot="1">
      <c r="A1" s="17" t="s">
        <v>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5" t="s">
        <v>0</v>
      </c>
      <c r="B2" s="16" t="s">
        <v>1</v>
      </c>
      <c r="C2" s="3" t="s">
        <v>2</v>
      </c>
      <c r="D2" s="18" t="s">
        <v>3</v>
      </c>
      <c r="E2" s="19"/>
      <c r="F2" s="20" t="s">
        <v>4</v>
      </c>
      <c r="G2" s="21"/>
      <c r="H2" s="18" t="s">
        <v>5</v>
      </c>
      <c r="I2" s="19"/>
      <c r="J2" s="20" t="s">
        <v>6</v>
      </c>
      <c r="K2" s="21"/>
      <c r="L2" s="18" t="s">
        <v>7</v>
      </c>
      <c r="M2" s="19"/>
      <c r="N2" s="20" t="s">
        <v>8</v>
      </c>
      <c r="O2" s="21"/>
      <c r="P2" s="7" t="s">
        <v>31</v>
      </c>
      <c r="Q2" s="8" t="s">
        <v>32</v>
      </c>
      <c r="R2" s="4" t="s">
        <v>34</v>
      </c>
      <c r="S2" s="1" t="s">
        <v>33</v>
      </c>
    </row>
    <row r="3" spans="1:19">
      <c r="A3" s="15"/>
      <c r="B3" s="16"/>
      <c r="C3" s="3"/>
      <c r="D3" s="5" t="s">
        <v>9</v>
      </c>
      <c r="E3" s="6" t="s">
        <v>10</v>
      </c>
      <c r="F3" s="4" t="s">
        <v>9</v>
      </c>
      <c r="G3" s="3" t="s">
        <v>10</v>
      </c>
      <c r="H3" s="5" t="s">
        <v>9</v>
      </c>
      <c r="I3" s="6" t="s">
        <v>10</v>
      </c>
      <c r="J3" s="4" t="s">
        <v>9</v>
      </c>
      <c r="K3" s="3" t="s">
        <v>10</v>
      </c>
      <c r="L3" s="5" t="s">
        <v>9</v>
      </c>
      <c r="M3" s="6" t="s">
        <v>10</v>
      </c>
      <c r="N3" s="4" t="s">
        <v>9</v>
      </c>
      <c r="O3" s="3" t="s">
        <v>10</v>
      </c>
      <c r="P3" s="5"/>
      <c r="Q3" s="6"/>
      <c r="R3" s="4"/>
      <c r="S3" s="1"/>
    </row>
    <row r="4" spans="1:19">
      <c r="A4" s="1">
        <v>1</v>
      </c>
      <c r="B4" s="1" t="s">
        <v>11</v>
      </c>
      <c r="C4" s="3">
        <v>25107851</v>
      </c>
      <c r="D4" s="5">
        <v>59</v>
      </c>
      <c r="E4" s="6">
        <v>20</v>
      </c>
      <c r="F4" s="4">
        <v>71</v>
      </c>
      <c r="G4" s="3">
        <v>20</v>
      </c>
      <c r="H4" s="5">
        <v>49</v>
      </c>
      <c r="I4" s="6">
        <v>20</v>
      </c>
      <c r="J4" s="4">
        <v>69</v>
      </c>
      <c r="K4" s="3">
        <v>20</v>
      </c>
      <c r="L4" s="5">
        <v>69</v>
      </c>
      <c r="M4" s="6">
        <v>20</v>
      </c>
      <c r="N4" s="4">
        <v>45</v>
      </c>
      <c r="O4" s="3">
        <v>50</v>
      </c>
      <c r="P4" s="5">
        <f>D4+F4+H4+J4+L4+N4</f>
        <v>362</v>
      </c>
      <c r="Q4" s="6">
        <f>E4+G4+I4+K4+M4+O4</f>
        <v>150</v>
      </c>
      <c r="R4" s="4">
        <f>P4+Q4</f>
        <v>512</v>
      </c>
      <c r="S4" s="2">
        <f>R4/600*100</f>
        <v>85.333333333333343</v>
      </c>
    </row>
    <row r="5" spans="1:19">
      <c r="A5" s="1">
        <v>2</v>
      </c>
      <c r="B5" s="1" t="s">
        <v>12</v>
      </c>
      <c r="C5" s="3">
        <v>25107852</v>
      </c>
      <c r="D5" s="5">
        <v>63</v>
      </c>
      <c r="E5" s="6">
        <v>20</v>
      </c>
      <c r="F5" s="4">
        <v>65</v>
      </c>
      <c r="G5" s="3">
        <v>20</v>
      </c>
      <c r="H5" s="5">
        <v>45</v>
      </c>
      <c r="I5" s="6">
        <v>20</v>
      </c>
      <c r="J5" s="4">
        <v>66</v>
      </c>
      <c r="K5" s="3">
        <v>20</v>
      </c>
      <c r="L5" s="5">
        <v>64</v>
      </c>
      <c r="M5" s="6">
        <v>20</v>
      </c>
      <c r="N5" s="4">
        <v>42</v>
      </c>
      <c r="O5" s="3">
        <v>50</v>
      </c>
      <c r="P5" s="5">
        <f t="shared" ref="P5:P23" si="0">D5+F5+H5+J5+L5+N5</f>
        <v>345</v>
      </c>
      <c r="Q5" s="6">
        <f t="shared" ref="Q5:Q23" si="1">E5+G5+I5+K5+M5+O5</f>
        <v>150</v>
      </c>
      <c r="R5" s="4">
        <f t="shared" ref="R5:R23" si="2">P5+Q5</f>
        <v>495</v>
      </c>
      <c r="S5" s="2">
        <f t="shared" ref="S5:S23" si="3">R5/600*100</f>
        <v>82.5</v>
      </c>
    </row>
    <row r="6" spans="1:19">
      <c r="A6" s="1">
        <v>3</v>
      </c>
      <c r="B6" s="1" t="s">
        <v>13</v>
      </c>
      <c r="C6" s="3">
        <v>25107853</v>
      </c>
      <c r="D6" s="5">
        <v>52</v>
      </c>
      <c r="E6" s="6">
        <v>18</v>
      </c>
      <c r="F6" s="4">
        <v>53</v>
      </c>
      <c r="G6" s="3">
        <v>16</v>
      </c>
      <c r="H6" s="5">
        <v>26</v>
      </c>
      <c r="I6" s="6">
        <v>15</v>
      </c>
      <c r="J6" s="4">
        <v>38</v>
      </c>
      <c r="K6" s="3">
        <v>17</v>
      </c>
      <c r="L6" s="5">
        <v>39</v>
      </c>
      <c r="M6" s="6">
        <v>16</v>
      </c>
      <c r="N6" s="4">
        <v>27</v>
      </c>
      <c r="O6" s="3">
        <v>43</v>
      </c>
      <c r="P6" s="5">
        <f t="shared" si="0"/>
        <v>235</v>
      </c>
      <c r="Q6" s="6">
        <f t="shared" si="1"/>
        <v>125</v>
      </c>
      <c r="R6" s="4">
        <f t="shared" si="2"/>
        <v>360</v>
      </c>
      <c r="S6" s="2">
        <f t="shared" si="3"/>
        <v>60</v>
      </c>
    </row>
    <row r="7" spans="1:19">
      <c r="A7" s="1">
        <v>4</v>
      </c>
      <c r="B7" s="1" t="s">
        <v>14</v>
      </c>
      <c r="C7" s="3">
        <v>25107854</v>
      </c>
      <c r="D7" s="5">
        <v>15</v>
      </c>
      <c r="E7" s="6">
        <v>15</v>
      </c>
      <c r="F7" s="4">
        <v>10</v>
      </c>
      <c r="G7" s="3">
        <v>15</v>
      </c>
      <c r="H7" s="5">
        <v>10</v>
      </c>
      <c r="I7" s="6">
        <v>15</v>
      </c>
      <c r="J7" s="4">
        <v>9</v>
      </c>
      <c r="K7" s="3">
        <v>16</v>
      </c>
      <c r="L7" s="5">
        <v>12</v>
      </c>
      <c r="M7" s="6">
        <v>15</v>
      </c>
      <c r="N7" s="4">
        <v>7</v>
      </c>
      <c r="O7" s="3">
        <v>40</v>
      </c>
      <c r="P7" s="5">
        <f t="shared" si="0"/>
        <v>63</v>
      </c>
      <c r="Q7" s="6">
        <f t="shared" si="1"/>
        <v>116</v>
      </c>
      <c r="R7" s="4">
        <f t="shared" si="2"/>
        <v>179</v>
      </c>
      <c r="S7" s="2">
        <f t="shared" si="3"/>
        <v>29.833333333333336</v>
      </c>
    </row>
    <row r="8" spans="1:19">
      <c r="A8" s="1">
        <v>5</v>
      </c>
      <c r="B8" s="1" t="s">
        <v>15</v>
      </c>
      <c r="C8" s="3">
        <v>25107855</v>
      </c>
      <c r="D8" s="5">
        <v>35</v>
      </c>
      <c r="E8" s="6">
        <v>15</v>
      </c>
      <c r="F8" s="4">
        <v>30</v>
      </c>
      <c r="G8" s="3">
        <v>15</v>
      </c>
      <c r="H8" s="5">
        <v>11</v>
      </c>
      <c r="I8" s="6">
        <v>15</v>
      </c>
      <c r="J8" s="4">
        <v>11</v>
      </c>
      <c r="K8" s="3">
        <v>15</v>
      </c>
      <c r="L8" s="5">
        <v>11</v>
      </c>
      <c r="M8" s="6">
        <v>15</v>
      </c>
      <c r="N8" s="4">
        <v>8</v>
      </c>
      <c r="O8" s="3">
        <v>40</v>
      </c>
      <c r="P8" s="5">
        <f t="shared" si="0"/>
        <v>106</v>
      </c>
      <c r="Q8" s="6">
        <f t="shared" si="1"/>
        <v>115</v>
      </c>
      <c r="R8" s="4">
        <f t="shared" si="2"/>
        <v>221</v>
      </c>
      <c r="S8" s="2">
        <f t="shared" si="3"/>
        <v>36.833333333333336</v>
      </c>
    </row>
    <row r="9" spans="1:19">
      <c r="A9" s="1">
        <v>6</v>
      </c>
      <c r="B9" s="1" t="s">
        <v>16</v>
      </c>
      <c r="C9" s="3">
        <v>25107856</v>
      </c>
      <c r="D9" s="5">
        <v>50</v>
      </c>
      <c r="E9" s="6">
        <v>18</v>
      </c>
      <c r="F9" s="4">
        <v>68</v>
      </c>
      <c r="G9" s="3">
        <v>19</v>
      </c>
      <c r="H9" s="5">
        <v>28</v>
      </c>
      <c r="I9" s="6">
        <v>17</v>
      </c>
      <c r="J9" s="4">
        <v>32</v>
      </c>
      <c r="K9" s="3">
        <v>17</v>
      </c>
      <c r="L9" s="5">
        <v>48</v>
      </c>
      <c r="M9" s="6">
        <v>18</v>
      </c>
      <c r="N9" s="4">
        <v>38</v>
      </c>
      <c r="O9" s="3">
        <v>47</v>
      </c>
      <c r="P9" s="5">
        <f t="shared" si="0"/>
        <v>264</v>
      </c>
      <c r="Q9" s="6">
        <f t="shared" si="1"/>
        <v>136</v>
      </c>
      <c r="R9" s="4">
        <f t="shared" si="2"/>
        <v>400</v>
      </c>
      <c r="S9" s="2">
        <f t="shared" si="3"/>
        <v>66.666666666666657</v>
      </c>
    </row>
    <row r="10" spans="1:19">
      <c r="A10" s="1">
        <v>7</v>
      </c>
      <c r="B10" s="1" t="s">
        <v>17</v>
      </c>
      <c r="C10" s="3">
        <v>25107857</v>
      </c>
      <c r="D10" s="5">
        <v>62</v>
      </c>
      <c r="E10" s="6">
        <v>20</v>
      </c>
      <c r="F10" s="4">
        <v>68</v>
      </c>
      <c r="G10" s="3">
        <v>20</v>
      </c>
      <c r="H10" s="5">
        <v>35</v>
      </c>
      <c r="I10" s="6">
        <v>20</v>
      </c>
      <c r="J10" s="4">
        <v>36</v>
      </c>
      <c r="K10" s="3">
        <v>20</v>
      </c>
      <c r="L10" s="5">
        <v>48</v>
      </c>
      <c r="M10" s="6">
        <v>20</v>
      </c>
      <c r="N10" s="4">
        <v>42</v>
      </c>
      <c r="O10" s="3">
        <v>50</v>
      </c>
      <c r="P10" s="5">
        <f t="shared" si="0"/>
        <v>291</v>
      </c>
      <c r="Q10" s="6">
        <f t="shared" si="1"/>
        <v>150</v>
      </c>
      <c r="R10" s="4">
        <f t="shared" si="2"/>
        <v>441</v>
      </c>
      <c r="S10" s="2">
        <f t="shared" si="3"/>
        <v>73.5</v>
      </c>
    </row>
    <row r="11" spans="1:19">
      <c r="A11" s="1">
        <v>8</v>
      </c>
      <c r="B11" s="1" t="s">
        <v>18</v>
      </c>
      <c r="C11" s="3">
        <v>25107858</v>
      </c>
      <c r="D11" s="5">
        <v>53</v>
      </c>
      <c r="E11" s="6">
        <v>17</v>
      </c>
      <c r="F11" s="4">
        <v>62</v>
      </c>
      <c r="G11" s="3">
        <v>16</v>
      </c>
      <c r="H11" s="5">
        <v>39</v>
      </c>
      <c r="I11" s="6">
        <v>17</v>
      </c>
      <c r="J11" s="4">
        <v>46</v>
      </c>
      <c r="K11" s="3">
        <v>16</v>
      </c>
      <c r="L11" s="5">
        <v>46</v>
      </c>
      <c r="M11" s="6">
        <v>19</v>
      </c>
      <c r="N11" s="4">
        <v>27</v>
      </c>
      <c r="O11" s="3">
        <v>44</v>
      </c>
      <c r="P11" s="5">
        <f t="shared" si="0"/>
        <v>273</v>
      </c>
      <c r="Q11" s="6">
        <f t="shared" si="1"/>
        <v>129</v>
      </c>
      <c r="R11" s="4">
        <f t="shared" si="2"/>
        <v>402</v>
      </c>
      <c r="S11" s="2">
        <f t="shared" si="3"/>
        <v>67</v>
      </c>
    </row>
    <row r="12" spans="1:19">
      <c r="A12" s="1">
        <v>9</v>
      </c>
      <c r="B12" s="1" t="s">
        <v>19</v>
      </c>
      <c r="C12" s="3">
        <v>25107859</v>
      </c>
      <c r="D12" s="5">
        <v>49</v>
      </c>
      <c r="E12" s="6">
        <v>16</v>
      </c>
      <c r="F12" s="4">
        <v>63</v>
      </c>
      <c r="G12" s="3">
        <v>16</v>
      </c>
      <c r="H12" s="5">
        <v>20</v>
      </c>
      <c r="I12" s="6">
        <v>17</v>
      </c>
      <c r="J12" s="4">
        <v>25</v>
      </c>
      <c r="K12" s="3">
        <v>16</v>
      </c>
      <c r="L12" s="5">
        <v>44</v>
      </c>
      <c r="M12" s="6">
        <v>17</v>
      </c>
      <c r="N12" s="4">
        <v>27</v>
      </c>
      <c r="O12" s="3">
        <v>43</v>
      </c>
      <c r="P12" s="5">
        <f t="shared" si="0"/>
        <v>228</v>
      </c>
      <c r="Q12" s="6">
        <f t="shared" si="1"/>
        <v>125</v>
      </c>
      <c r="R12" s="4">
        <f t="shared" si="2"/>
        <v>353</v>
      </c>
      <c r="S12" s="2">
        <f t="shared" si="3"/>
        <v>58.833333333333336</v>
      </c>
    </row>
    <row r="13" spans="1:19">
      <c r="A13" s="1">
        <v>10</v>
      </c>
      <c r="B13" s="1" t="s">
        <v>20</v>
      </c>
      <c r="C13" s="3">
        <v>25107830</v>
      </c>
      <c r="D13" s="5">
        <v>48</v>
      </c>
      <c r="E13" s="6">
        <v>15</v>
      </c>
      <c r="F13" s="4">
        <v>67</v>
      </c>
      <c r="G13" s="3">
        <v>16</v>
      </c>
      <c r="H13" s="5">
        <v>8</v>
      </c>
      <c r="I13" s="6">
        <v>16</v>
      </c>
      <c r="J13" s="4">
        <v>30</v>
      </c>
      <c r="K13" s="3">
        <v>15</v>
      </c>
      <c r="L13" s="5">
        <v>33</v>
      </c>
      <c r="M13" s="6">
        <v>16</v>
      </c>
      <c r="N13" s="4">
        <v>28</v>
      </c>
      <c r="O13" s="3">
        <v>40</v>
      </c>
      <c r="P13" s="5">
        <f t="shared" si="0"/>
        <v>214</v>
      </c>
      <c r="Q13" s="6">
        <f t="shared" si="1"/>
        <v>118</v>
      </c>
      <c r="R13" s="4">
        <f t="shared" si="2"/>
        <v>332</v>
      </c>
      <c r="S13" s="2">
        <f t="shared" si="3"/>
        <v>55.333333333333336</v>
      </c>
    </row>
    <row r="14" spans="1:19">
      <c r="A14" s="1">
        <v>11</v>
      </c>
      <c r="B14" s="1" t="s">
        <v>21</v>
      </c>
      <c r="C14" s="3">
        <v>25107861</v>
      </c>
      <c r="D14" s="5">
        <v>65</v>
      </c>
      <c r="E14" s="6">
        <v>18</v>
      </c>
      <c r="F14" s="4">
        <v>67</v>
      </c>
      <c r="G14" s="3">
        <v>19</v>
      </c>
      <c r="H14" s="5">
        <v>43</v>
      </c>
      <c r="I14" s="6">
        <v>16</v>
      </c>
      <c r="J14" s="4">
        <v>44</v>
      </c>
      <c r="K14" s="3">
        <v>17</v>
      </c>
      <c r="L14" s="5">
        <v>48</v>
      </c>
      <c r="M14" s="6">
        <v>18</v>
      </c>
      <c r="N14" s="4">
        <v>33</v>
      </c>
      <c r="O14" s="3">
        <v>46</v>
      </c>
      <c r="P14" s="5">
        <f t="shared" si="0"/>
        <v>300</v>
      </c>
      <c r="Q14" s="6">
        <f t="shared" si="1"/>
        <v>134</v>
      </c>
      <c r="R14" s="4">
        <f t="shared" si="2"/>
        <v>434</v>
      </c>
      <c r="S14" s="2">
        <f t="shared" si="3"/>
        <v>72.333333333333343</v>
      </c>
    </row>
    <row r="15" spans="1:19">
      <c r="A15" s="1">
        <v>12</v>
      </c>
      <c r="B15" s="1" t="s">
        <v>22</v>
      </c>
      <c r="C15" s="3">
        <v>25107862</v>
      </c>
      <c r="D15" s="5">
        <v>49</v>
      </c>
      <c r="E15" s="6">
        <v>18</v>
      </c>
      <c r="F15" s="4">
        <v>64</v>
      </c>
      <c r="G15" s="3">
        <v>17</v>
      </c>
      <c r="H15" s="5">
        <v>40</v>
      </c>
      <c r="I15" s="6">
        <v>19</v>
      </c>
      <c r="J15" s="4">
        <v>37</v>
      </c>
      <c r="K15" s="3">
        <v>17</v>
      </c>
      <c r="L15" s="5">
        <v>38</v>
      </c>
      <c r="M15" s="6">
        <v>19</v>
      </c>
      <c r="N15" s="4">
        <v>29</v>
      </c>
      <c r="O15" s="3">
        <v>48</v>
      </c>
      <c r="P15" s="5">
        <f t="shared" si="0"/>
        <v>257</v>
      </c>
      <c r="Q15" s="6">
        <f t="shared" si="1"/>
        <v>138</v>
      </c>
      <c r="R15" s="4">
        <f t="shared" si="2"/>
        <v>395</v>
      </c>
      <c r="S15" s="2">
        <f t="shared" si="3"/>
        <v>65.833333333333329</v>
      </c>
    </row>
    <row r="16" spans="1:19">
      <c r="A16" s="1">
        <v>13</v>
      </c>
      <c r="B16" s="1" t="s">
        <v>23</v>
      </c>
      <c r="C16" s="3">
        <v>25107863</v>
      </c>
      <c r="D16" s="5">
        <v>54</v>
      </c>
      <c r="E16" s="6">
        <v>20</v>
      </c>
      <c r="F16" s="4">
        <v>72</v>
      </c>
      <c r="G16" s="3">
        <v>20</v>
      </c>
      <c r="H16" s="5">
        <v>62</v>
      </c>
      <c r="I16" s="6">
        <v>20</v>
      </c>
      <c r="J16" s="4">
        <v>70</v>
      </c>
      <c r="K16" s="3">
        <v>20</v>
      </c>
      <c r="L16" s="5">
        <v>64</v>
      </c>
      <c r="M16" s="6">
        <v>20</v>
      </c>
      <c r="N16" s="4">
        <v>45</v>
      </c>
      <c r="O16" s="3">
        <v>50</v>
      </c>
      <c r="P16" s="5">
        <f t="shared" si="0"/>
        <v>367</v>
      </c>
      <c r="Q16" s="6">
        <f t="shared" si="1"/>
        <v>150</v>
      </c>
      <c r="R16" s="4">
        <f t="shared" si="2"/>
        <v>517</v>
      </c>
      <c r="S16" s="2">
        <f t="shared" si="3"/>
        <v>86.166666666666671</v>
      </c>
    </row>
    <row r="17" spans="1:19">
      <c r="A17" s="1">
        <v>14</v>
      </c>
      <c r="B17" s="1" t="s">
        <v>24</v>
      </c>
      <c r="C17" s="3">
        <v>25107864</v>
      </c>
      <c r="D17" s="5">
        <v>67</v>
      </c>
      <c r="E17" s="6">
        <v>20</v>
      </c>
      <c r="F17" s="4">
        <v>75</v>
      </c>
      <c r="G17" s="3">
        <v>20</v>
      </c>
      <c r="H17" s="5">
        <v>68</v>
      </c>
      <c r="I17" s="6">
        <v>20</v>
      </c>
      <c r="J17" s="4">
        <v>75</v>
      </c>
      <c r="K17" s="3">
        <v>20</v>
      </c>
      <c r="L17" s="5">
        <v>71</v>
      </c>
      <c r="M17" s="6">
        <v>20</v>
      </c>
      <c r="N17" s="4">
        <v>43</v>
      </c>
      <c r="O17" s="3">
        <v>50</v>
      </c>
      <c r="P17" s="5">
        <f t="shared" si="0"/>
        <v>399</v>
      </c>
      <c r="Q17" s="6">
        <f t="shared" si="1"/>
        <v>150</v>
      </c>
      <c r="R17" s="4">
        <f t="shared" si="2"/>
        <v>549</v>
      </c>
      <c r="S17" s="2">
        <f t="shared" si="3"/>
        <v>91.5</v>
      </c>
    </row>
    <row r="18" spans="1:19">
      <c r="A18" s="1">
        <v>15</v>
      </c>
      <c r="B18" s="1" t="s">
        <v>25</v>
      </c>
      <c r="C18" s="3">
        <v>25107865</v>
      </c>
      <c r="D18" s="5">
        <v>30</v>
      </c>
      <c r="E18" s="6">
        <v>15</v>
      </c>
      <c r="F18" s="4">
        <v>55</v>
      </c>
      <c r="G18" s="3">
        <v>16</v>
      </c>
      <c r="H18" s="5">
        <v>25</v>
      </c>
      <c r="I18" s="6">
        <v>16</v>
      </c>
      <c r="J18" s="4">
        <v>23</v>
      </c>
      <c r="K18" s="3">
        <v>15</v>
      </c>
      <c r="L18" s="5">
        <v>33</v>
      </c>
      <c r="M18" s="6">
        <v>16</v>
      </c>
      <c r="N18" s="4">
        <v>14</v>
      </c>
      <c r="O18" s="3">
        <v>40</v>
      </c>
      <c r="P18" s="5">
        <f t="shared" si="0"/>
        <v>180</v>
      </c>
      <c r="Q18" s="6">
        <f t="shared" si="1"/>
        <v>118</v>
      </c>
      <c r="R18" s="4">
        <f t="shared" si="2"/>
        <v>298</v>
      </c>
      <c r="S18" s="2">
        <f t="shared" si="3"/>
        <v>49.666666666666664</v>
      </c>
    </row>
    <row r="19" spans="1:19">
      <c r="A19" s="1">
        <v>16</v>
      </c>
      <c r="B19" s="1" t="s">
        <v>26</v>
      </c>
      <c r="C19" s="3">
        <v>25107866</v>
      </c>
      <c r="D19" s="5">
        <v>57</v>
      </c>
      <c r="E19" s="6">
        <v>20</v>
      </c>
      <c r="F19" s="4">
        <v>72</v>
      </c>
      <c r="G19" s="3">
        <v>20</v>
      </c>
      <c r="H19" s="5">
        <v>40</v>
      </c>
      <c r="I19" s="6">
        <v>20</v>
      </c>
      <c r="J19" s="4">
        <v>44</v>
      </c>
      <c r="K19" s="3">
        <v>20</v>
      </c>
      <c r="L19" s="5">
        <v>60</v>
      </c>
      <c r="M19" s="6">
        <v>20</v>
      </c>
      <c r="N19" s="4">
        <v>44</v>
      </c>
      <c r="O19" s="3">
        <v>50</v>
      </c>
      <c r="P19" s="5">
        <f t="shared" si="0"/>
        <v>317</v>
      </c>
      <c r="Q19" s="6">
        <f t="shared" si="1"/>
        <v>150</v>
      </c>
      <c r="R19" s="4">
        <f t="shared" si="2"/>
        <v>467</v>
      </c>
      <c r="S19" s="2">
        <f t="shared" si="3"/>
        <v>77.833333333333329</v>
      </c>
    </row>
    <row r="20" spans="1:19">
      <c r="A20" s="1">
        <v>17</v>
      </c>
      <c r="B20" s="1" t="s">
        <v>27</v>
      </c>
      <c r="C20" s="3">
        <v>25107867</v>
      </c>
      <c r="D20" s="5">
        <v>59</v>
      </c>
      <c r="E20" s="6">
        <v>20</v>
      </c>
      <c r="F20" s="4">
        <v>64</v>
      </c>
      <c r="G20" s="3">
        <v>20</v>
      </c>
      <c r="H20" s="5">
        <v>36</v>
      </c>
      <c r="I20" s="6">
        <v>20</v>
      </c>
      <c r="J20" s="4">
        <v>41</v>
      </c>
      <c r="K20" s="3">
        <v>20</v>
      </c>
      <c r="L20" s="5">
        <v>49</v>
      </c>
      <c r="M20" s="6">
        <v>20</v>
      </c>
      <c r="N20" s="4">
        <v>33</v>
      </c>
      <c r="O20" s="3">
        <v>48</v>
      </c>
      <c r="P20" s="5">
        <f t="shared" si="0"/>
        <v>282</v>
      </c>
      <c r="Q20" s="6">
        <f t="shared" si="1"/>
        <v>148</v>
      </c>
      <c r="R20" s="4">
        <f t="shared" si="2"/>
        <v>430</v>
      </c>
      <c r="S20" s="2">
        <f t="shared" si="3"/>
        <v>71.666666666666671</v>
      </c>
    </row>
    <row r="21" spans="1:19">
      <c r="A21" s="1">
        <v>18</v>
      </c>
      <c r="B21" s="1" t="s">
        <v>28</v>
      </c>
      <c r="C21" s="3">
        <v>25107868</v>
      </c>
      <c r="D21" s="5">
        <v>41</v>
      </c>
      <c r="E21" s="6">
        <v>16</v>
      </c>
      <c r="F21" s="4">
        <v>49</v>
      </c>
      <c r="G21" s="3">
        <v>16</v>
      </c>
      <c r="H21" s="5">
        <v>19</v>
      </c>
      <c r="I21" s="6">
        <v>15</v>
      </c>
      <c r="J21" s="4">
        <v>22</v>
      </c>
      <c r="K21" s="3">
        <v>16</v>
      </c>
      <c r="L21" s="5">
        <v>33</v>
      </c>
      <c r="M21" s="6">
        <v>16</v>
      </c>
      <c r="N21" s="4">
        <v>21</v>
      </c>
      <c r="O21" s="3">
        <v>41</v>
      </c>
      <c r="P21" s="5">
        <f t="shared" si="0"/>
        <v>185</v>
      </c>
      <c r="Q21" s="6">
        <f t="shared" si="1"/>
        <v>120</v>
      </c>
      <c r="R21" s="4">
        <f t="shared" si="2"/>
        <v>305</v>
      </c>
      <c r="S21" s="2">
        <f t="shared" si="3"/>
        <v>50.833333333333329</v>
      </c>
    </row>
    <row r="22" spans="1:19">
      <c r="A22" s="1">
        <v>19</v>
      </c>
      <c r="B22" s="1" t="s">
        <v>29</v>
      </c>
      <c r="C22" s="3">
        <v>25107869</v>
      </c>
      <c r="D22" s="5">
        <v>39</v>
      </c>
      <c r="E22" s="6">
        <v>17</v>
      </c>
      <c r="F22" s="4">
        <v>60</v>
      </c>
      <c r="G22" s="3">
        <v>18</v>
      </c>
      <c r="H22" s="5">
        <v>40</v>
      </c>
      <c r="I22" s="6">
        <v>17</v>
      </c>
      <c r="J22" s="4">
        <v>47</v>
      </c>
      <c r="K22" s="3">
        <v>18</v>
      </c>
      <c r="L22" s="5">
        <v>53</v>
      </c>
      <c r="M22" s="6">
        <v>19</v>
      </c>
      <c r="N22" s="4">
        <v>29</v>
      </c>
      <c r="O22" s="3">
        <v>46</v>
      </c>
      <c r="P22" s="5">
        <f t="shared" si="0"/>
        <v>268</v>
      </c>
      <c r="Q22" s="6">
        <f t="shared" si="1"/>
        <v>135</v>
      </c>
      <c r="R22" s="4">
        <f t="shared" si="2"/>
        <v>403</v>
      </c>
      <c r="S22" s="2">
        <f t="shared" si="3"/>
        <v>67.166666666666657</v>
      </c>
    </row>
    <row r="23" spans="1:19">
      <c r="A23" s="9">
        <v>20</v>
      </c>
      <c r="B23" s="9" t="s">
        <v>30</v>
      </c>
      <c r="C23" s="10">
        <v>25107870</v>
      </c>
      <c r="D23" s="11">
        <v>58</v>
      </c>
      <c r="E23" s="12">
        <v>15</v>
      </c>
      <c r="F23" s="13">
        <v>56</v>
      </c>
      <c r="G23" s="10">
        <v>16</v>
      </c>
      <c r="H23" s="11">
        <v>21</v>
      </c>
      <c r="I23" s="12">
        <v>16</v>
      </c>
      <c r="J23" s="13">
        <v>22</v>
      </c>
      <c r="K23" s="10">
        <v>16</v>
      </c>
      <c r="L23" s="11">
        <v>35</v>
      </c>
      <c r="M23" s="12">
        <v>18</v>
      </c>
      <c r="N23" s="13">
        <v>14</v>
      </c>
      <c r="O23" s="10">
        <v>40</v>
      </c>
      <c r="P23" s="11">
        <f t="shared" si="0"/>
        <v>206</v>
      </c>
      <c r="Q23" s="12">
        <f t="shared" si="1"/>
        <v>121</v>
      </c>
      <c r="R23" s="13">
        <f t="shared" si="2"/>
        <v>327</v>
      </c>
      <c r="S23" s="14">
        <f t="shared" si="3"/>
        <v>54.500000000000007</v>
      </c>
    </row>
    <row r="24" spans="1:19">
      <c r="A24" s="1"/>
      <c r="B24" s="1"/>
      <c r="C24" s="1"/>
      <c r="D24" s="1">
        <f>SUM(D4:D23)</f>
        <v>1005</v>
      </c>
      <c r="E24" s="1"/>
      <c r="F24" s="1">
        <f>SUM(F4:F23)</f>
        <v>1191</v>
      </c>
      <c r="G24" s="1"/>
      <c r="H24" s="1">
        <f>SUM(H4:H23)</f>
        <v>665</v>
      </c>
      <c r="I24" s="1"/>
      <c r="J24" s="1">
        <f>SUM(J4:J23)</f>
        <v>787</v>
      </c>
      <c r="K24" s="1"/>
      <c r="L24" s="1">
        <f>SUM(L4:L23)</f>
        <v>898</v>
      </c>
      <c r="M24" s="1"/>
      <c r="N24" s="1">
        <f>SUM(N4:N23)</f>
        <v>596</v>
      </c>
      <c r="O24" s="1"/>
      <c r="P24" s="1"/>
      <c r="Q24" s="1"/>
      <c r="R24" s="1"/>
      <c r="S24" s="1"/>
    </row>
  </sheetData>
  <mergeCells count="9">
    <mergeCell ref="A2:A3"/>
    <mergeCell ref="B2:B3"/>
    <mergeCell ref="A1:S1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9"/>
  <sheetViews>
    <sheetView tabSelected="1" topLeftCell="A10" workbookViewId="0">
      <selection activeCell="S20" sqref="S20"/>
    </sheetView>
  </sheetViews>
  <sheetFormatPr defaultRowHeight="15"/>
  <cols>
    <col min="1" max="1" width="5.85546875" customWidth="1"/>
    <col min="2" max="2" width="18.7109375" bestFit="1" customWidth="1"/>
    <col min="3" max="3" width="8.7109375" bestFit="1" customWidth="1"/>
    <col min="4" max="4" width="5.5703125" bestFit="1" customWidth="1"/>
    <col min="5" max="5" width="7.42578125" bestFit="1" customWidth="1"/>
    <col min="6" max="6" width="6.140625" bestFit="1" customWidth="1"/>
    <col min="7" max="7" width="9" bestFit="1" customWidth="1"/>
    <col min="8" max="8" width="8" bestFit="1" customWidth="1"/>
    <col min="9" max="9" width="3.85546875" bestFit="1" customWidth="1"/>
    <col min="10" max="10" width="10.28515625" bestFit="1" customWidth="1"/>
    <col min="11" max="11" width="6.140625" bestFit="1" customWidth="1"/>
    <col min="12" max="12" width="6.7109375" bestFit="1" customWidth="1"/>
    <col min="13" max="13" width="5" bestFit="1" customWidth="1"/>
    <col min="14" max="14" width="7.85546875" bestFit="1" customWidth="1"/>
    <col min="15" max="15" width="5.28515625" customWidth="1"/>
    <col min="16" max="16" width="5.7109375" customWidth="1"/>
    <col min="17" max="17" width="6.7109375" customWidth="1"/>
    <col min="18" max="18" width="8" customWidth="1"/>
    <col min="19" max="20" width="6.7109375" customWidth="1"/>
    <col min="21" max="21" width="7.28515625" customWidth="1"/>
  </cols>
  <sheetData>
    <row r="1" spans="1:1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57</v>
      </c>
      <c r="L2" s="1" t="s">
        <v>48</v>
      </c>
      <c r="M2" s="1" t="s">
        <v>33</v>
      </c>
      <c r="N2" s="1" t="s">
        <v>49</v>
      </c>
      <c r="O2" s="1" t="s">
        <v>33</v>
      </c>
    </row>
    <row r="3" spans="1:15">
      <c r="A3" s="1">
        <v>1</v>
      </c>
      <c r="B3" s="1" t="s">
        <v>50</v>
      </c>
      <c r="C3" s="1">
        <v>94</v>
      </c>
      <c r="D3" s="1">
        <v>78</v>
      </c>
      <c r="E3" s="1">
        <v>66</v>
      </c>
      <c r="F3" s="1">
        <v>74</v>
      </c>
      <c r="G3" s="1">
        <v>90</v>
      </c>
      <c r="H3" s="1">
        <v>86</v>
      </c>
      <c r="I3" s="1" t="s">
        <v>51</v>
      </c>
      <c r="J3" s="1" t="s">
        <v>51</v>
      </c>
      <c r="K3" s="1"/>
      <c r="L3" s="1">
        <f>C3+D3+F3+G3+H3</f>
        <v>422</v>
      </c>
      <c r="M3" s="1">
        <f>L3/500*100</f>
        <v>84.399999999999991</v>
      </c>
      <c r="N3" s="1">
        <f>L3+E3</f>
        <v>488</v>
      </c>
      <c r="O3" s="1">
        <f>N3/600*100</f>
        <v>81.333333333333329</v>
      </c>
    </row>
    <row r="4" spans="1:15">
      <c r="A4" s="1">
        <v>2</v>
      </c>
      <c r="B4" s="1" t="s">
        <v>52</v>
      </c>
      <c r="C4" s="1">
        <v>89</v>
      </c>
      <c r="D4" s="1">
        <v>76</v>
      </c>
      <c r="E4" s="1">
        <v>74</v>
      </c>
      <c r="F4" s="1">
        <v>57</v>
      </c>
      <c r="G4" s="1">
        <v>68</v>
      </c>
      <c r="H4" s="1">
        <v>79</v>
      </c>
      <c r="I4" s="1" t="s">
        <v>51</v>
      </c>
      <c r="J4" s="1" t="s">
        <v>51</v>
      </c>
      <c r="K4" s="1"/>
      <c r="L4" s="1">
        <f>C4+D4+E4+G4+H4</f>
        <v>386</v>
      </c>
      <c r="M4" s="1">
        <f t="shared" ref="M4:M15" si="0">L4/500*100</f>
        <v>77.2</v>
      </c>
      <c r="N4" s="1">
        <f>L4+F4</f>
        <v>443</v>
      </c>
      <c r="O4" s="1">
        <f t="shared" ref="O4:O15" si="1">N4/600*100</f>
        <v>73.833333333333329</v>
      </c>
    </row>
    <row r="5" spans="1:15">
      <c r="A5" s="1">
        <v>3</v>
      </c>
      <c r="B5" s="1" t="s">
        <v>53</v>
      </c>
      <c r="C5" s="1">
        <v>93</v>
      </c>
      <c r="D5" s="1">
        <v>49</v>
      </c>
      <c r="E5" s="1">
        <v>54</v>
      </c>
      <c r="F5" s="1">
        <v>51</v>
      </c>
      <c r="G5" s="1">
        <v>62</v>
      </c>
      <c r="H5" s="1">
        <v>69</v>
      </c>
      <c r="I5" s="1" t="s">
        <v>51</v>
      </c>
      <c r="J5" s="1" t="s">
        <v>51</v>
      </c>
      <c r="K5" s="1"/>
      <c r="L5" s="1">
        <f>C5+E5+F5+G5+H5</f>
        <v>329</v>
      </c>
      <c r="M5" s="1">
        <f t="shared" si="0"/>
        <v>65.8</v>
      </c>
      <c r="N5" s="1">
        <f>L5+D5</f>
        <v>378</v>
      </c>
      <c r="O5" s="1">
        <f t="shared" si="1"/>
        <v>63</v>
      </c>
    </row>
    <row r="6" spans="1:15">
      <c r="A6" s="1">
        <v>4</v>
      </c>
      <c r="B6" s="1" t="s">
        <v>54</v>
      </c>
      <c r="C6" s="1">
        <v>74</v>
      </c>
      <c r="D6" s="1">
        <v>54</v>
      </c>
      <c r="E6" s="1">
        <v>53</v>
      </c>
      <c r="F6" s="1">
        <v>51</v>
      </c>
      <c r="G6" s="1">
        <v>73</v>
      </c>
      <c r="H6" s="1">
        <v>62</v>
      </c>
      <c r="I6" s="1" t="s">
        <v>51</v>
      </c>
      <c r="J6" s="1" t="s">
        <v>51</v>
      </c>
      <c r="K6" s="1"/>
      <c r="L6" s="1">
        <f>C6+D6+E6+G6+H6</f>
        <v>316</v>
      </c>
      <c r="M6" s="1">
        <f t="shared" si="0"/>
        <v>63.2</v>
      </c>
      <c r="N6" s="1">
        <f>L6+F6</f>
        <v>367</v>
      </c>
      <c r="O6" s="1">
        <f t="shared" si="1"/>
        <v>61.166666666666671</v>
      </c>
    </row>
    <row r="7" spans="1:15">
      <c r="A7" s="1">
        <v>5</v>
      </c>
      <c r="B7" s="1" t="s">
        <v>55</v>
      </c>
      <c r="C7" s="1">
        <v>67</v>
      </c>
      <c r="D7" s="1">
        <v>50</v>
      </c>
      <c r="E7" s="1">
        <v>54</v>
      </c>
      <c r="F7" s="1">
        <v>61</v>
      </c>
      <c r="G7" s="1">
        <v>64</v>
      </c>
      <c r="H7" s="1">
        <v>64</v>
      </c>
      <c r="I7" s="1" t="s">
        <v>51</v>
      </c>
      <c r="J7" s="1" t="s">
        <v>51</v>
      </c>
      <c r="K7" s="1"/>
      <c r="L7" s="1">
        <f>C7+E7+F7+G7+H7</f>
        <v>310</v>
      </c>
      <c r="M7" s="1">
        <f t="shared" si="0"/>
        <v>62</v>
      </c>
      <c r="N7" s="1">
        <f>L7+D7</f>
        <v>360</v>
      </c>
      <c r="O7" s="1">
        <f t="shared" si="1"/>
        <v>60</v>
      </c>
    </row>
    <row r="8" spans="1:15">
      <c r="A8" s="1">
        <v>6</v>
      </c>
      <c r="B8" s="1" t="s">
        <v>56</v>
      </c>
      <c r="C8" s="1">
        <v>70</v>
      </c>
      <c r="D8" s="1">
        <v>47</v>
      </c>
      <c r="E8" s="1">
        <v>52</v>
      </c>
      <c r="F8" s="1">
        <v>55</v>
      </c>
      <c r="G8" s="1" t="s">
        <v>51</v>
      </c>
      <c r="H8" s="1">
        <v>67</v>
      </c>
      <c r="I8" s="1" t="s">
        <v>51</v>
      </c>
      <c r="J8" s="1" t="s">
        <v>51</v>
      </c>
      <c r="K8" s="1">
        <v>79</v>
      </c>
      <c r="L8" s="1">
        <f>C8+E8+F8+H8+K8</f>
        <v>323</v>
      </c>
      <c r="M8" s="1">
        <f t="shared" si="0"/>
        <v>64.600000000000009</v>
      </c>
      <c r="N8" s="1">
        <f>L8+D8</f>
        <v>370</v>
      </c>
      <c r="O8" s="1">
        <f t="shared" si="1"/>
        <v>61.666666666666671</v>
      </c>
    </row>
    <row r="9" spans="1:15">
      <c r="A9" s="1">
        <v>7</v>
      </c>
      <c r="B9" s="1" t="s">
        <v>58</v>
      </c>
      <c r="C9" s="1">
        <v>68</v>
      </c>
      <c r="D9" s="1">
        <v>46</v>
      </c>
      <c r="E9" s="1">
        <v>53</v>
      </c>
      <c r="F9" s="1">
        <v>53</v>
      </c>
      <c r="G9" s="1">
        <v>67</v>
      </c>
      <c r="H9" s="1">
        <v>73</v>
      </c>
      <c r="I9" s="1" t="s">
        <v>51</v>
      </c>
      <c r="J9" s="1" t="s">
        <v>51</v>
      </c>
      <c r="K9" s="1" t="s">
        <v>51</v>
      </c>
      <c r="L9" s="1">
        <f>C9+E9+F9+G9+H9</f>
        <v>314</v>
      </c>
      <c r="M9" s="1">
        <f t="shared" si="0"/>
        <v>62.8</v>
      </c>
      <c r="N9" s="1">
        <f>L9+D9</f>
        <v>360</v>
      </c>
      <c r="O9" s="1">
        <f t="shared" si="1"/>
        <v>60</v>
      </c>
    </row>
    <row r="10" spans="1:15">
      <c r="A10" s="1">
        <v>8</v>
      </c>
      <c r="B10" s="1" t="s">
        <v>59</v>
      </c>
      <c r="C10" s="1">
        <v>72</v>
      </c>
      <c r="D10" s="1">
        <v>56</v>
      </c>
      <c r="E10" s="1">
        <v>55</v>
      </c>
      <c r="F10" s="1">
        <v>64</v>
      </c>
      <c r="G10" s="1">
        <v>73</v>
      </c>
      <c r="H10" s="1">
        <v>63</v>
      </c>
      <c r="I10" s="1" t="s">
        <v>51</v>
      </c>
      <c r="J10" s="1" t="s">
        <v>51</v>
      </c>
      <c r="K10" s="1" t="s">
        <v>51</v>
      </c>
      <c r="L10" s="1">
        <f>C10+D10+F10+G10+H10</f>
        <v>328</v>
      </c>
      <c r="M10" s="1">
        <f t="shared" si="0"/>
        <v>65.600000000000009</v>
      </c>
      <c r="N10" s="1">
        <f>L10+E10</f>
        <v>383</v>
      </c>
      <c r="O10" s="1">
        <f t="shared" si="1"/>
        <v>63.833333333333329</v>
      </c>
    </row>
    <row r="11" spans="1:15">
      <c r="A11" s="1">
        <v>9</v>
      </c>
      <c r="B11" s="1" t="s">
        <v>60</v>
      </c>
      <c r="C11" s="1">
        <v>55</v>
      </c>
      <c r="D11" s="1">
        <v>72</v>
      </c>
      <c r="E11" s="1">
        <v>45</v>
      </c>
      <c r="F11" s="1">
        <v>53</v>
      </c>
      <c r="G11" s="1">
        <v>51</v>
      </c>
      <c r="H11" s="1">
        <v>55</v>
      </c>
      <c r="I11" s="1" t="s">
        <v>51</v>
      </c>
      <c r="J11" s="1" t="s">
        <v>51</v>
      </c>
      <c r="K11" s="1" t="s">
        <v>51</v>
      </c>
      <c r="L11" s="1">
        <f>C11+D11+F11+G11+H11</f>
        <v>286</v>
      </c>
      <c r="M11" s="1">
        <f t="shared" si="0"/>
        <v>57.199999999999996</v>
      </c>
      <c r="N11" s="1">
        <f>L11+E11</f>
        <v>331</v>
      </c>
      <c r="O11" s="1">
        <f t="shared" si="1"/>
        <v>55.166666666666664</v>
      </c>
    </row>
    <row r="12" spans="1:15">
      <c r="A12" s="1">
        <v>10</v>
      </c>
      <c r="B12" s="1" t="s">
        <v>61</v>
      </c>
      <c r="C12" s="1">
        <v>88</v>
      </c>
      <c r="D12" s="1">
        <v>54</v>
      </c>
      <c r="E12" s="1">
        <v>52</v>
      </c>
      <c r="F12" s="1">
        <v>54</v>
      </c>
      <c r="G12" s="1">
        <v>54</v>
      </c>
      <c r="H12" s="1">
        <v>70</v>
      </c>
      <c r="I12" s="1" t="s">
        <v>51</v>
      </c>
      <c r="J12" s="1" t="s">
        <v>51</v>
      </c>
      <c r="K12" s="1" t="s">
        <v>51</v>
      </c>
      <c r="L12" s="1">
        <f>C12+D12+F12+G12+H12</f>
        <v>320</v>
      </c>
      <c r="M12" s="1">
        <f t="shared" si="0"/>
        <v>64</v>
      </c>
      <c r="N12" s="1">
        <f>L12+E12</f>
        <v>372</v>
      </c>
      <c r="O12" s="1">
        <f t="shared" si="1"/>
        <v>62</v>
      </c>
    </row>
    <row r="13" spans="1:15">
      <c r="A13" s="1">
        <v>11</v>
      </c>
      <c r="B13" s="1" t="s">
        <v>62</v>
      </c>
      <c r="C13" s="1">
        <v>91</v>
      </c>
      <c r="D13" s="1" t="s">
        <v>51</v>
      </c>
      <c r="E13" s="1">
        <v>58</v>
      </c>
      <c r="F13" s="1">
        <v>58</v>
      </c>
      <c r="G13" s="1">
        <v>67</v>
      </c>
      <c r="H13" s="1">
        <v>62</v>
      </c>
      <c r="I13" s="1">
        <v>68</v>
      </c>
      <c r="J13" s="1" t="s">
        <v>51</v>
      </c>
      <c r="K13" s="1" t="s">
        <v>51</v>
      </c>
      <c r="L13" s="1">
        <f>C13+E13+G13+H13+I13</f>
        <v>346</v>
      </c>
      <c r="M13" s="1">
        <f t="shared" si="0"/>
        <v>69.199999999999989</v>
      </c>
      <c r="N13" s="1">
        <f>L13+E13</f>
        <v>404</v>
      </c>
      <c r="O13" s="1">
        <f t="shared" si="1"/>
        <v>67.333333333333329</v>
      </c>
    </row>
    <row r="14" spans="1:15">
      <c r="A14" s="1">
        <v>12</v>
      </c>
      <c r="B14" s="1" t="s">
        <v>63</v>
      </c>
      <c r="C14" s="1">
        <v>46</v>
      </c>
      <c r="D14" s="1" t="s">
        <v>51</v>
      </c>
      <c r="E14" s="1">
        <v>48</v>
      </c>
      <c r="F14" s="1">
        <v>33</v>
      </c>
      <c r="G14" s="1" t="s">
        <v>51</v>
      </c>
      <c r="H14" s="1">
        <v>60</v>
      </c>
      <c r="I14" s="1">
        <v>55</v>
      </c>
      <c r="J14" s="1">
        <v>52</v>
      </c>
      <c r="K14" s="1" t="s">
        <v>51</v>
      </c>
      <c r="L14" s="1">
        <f>C14+E14+H14+I14+J14</f>
        <v>261</v>
      </c>
      <c r="M14" s="1">
        <f t="shared" si="0"/>
        <v>52.2</v>
      </c>
      <c r="N14" s="1">
        <f>L14+F14</f>
        <v>294</v>
      </c>
      <c r="O14" s="1">
        <f t="shared" si="1"/>
        <v>49</v>
      </c>
    </row>
    <row r="15" spans="1:15">
      <c r="A15" s="1">
        <v>13</v>
      </c>
      <c r="B15" s="1" t="s">
        <v>64</v>
      </c>
      <c r="C15" s="1">
        <v>52</v>
      </c>
      <c r="D15" s="1">
        <v>40</v>
      </c>
      <c r="E15" s="1">
        <v>35</v>
      </c>
      <c r="F15" s="1">
        <v>52</v>
      </c>
      <c r="G15" s="1">
        <v>58</v>
      </c>
      <c r="H15" s="1">
        <v>62</v>
      </c>
      <c r="I15" s="1" t="s">
        <v>51</v>
      </c>
      <c r="J15" s="1" t="s">
        <v>51</v>
      </c>
      <c r="K15" s="1"/>
      <c r="L15" s="1">
        <f>C15+D15+F15+G15+H15</f>
        <v>264</v>
      </c>
      <c r="M15" s="1">
        <f t="shared" si="0"/>
        <v>52.800000000000004</v>
      </c>
      <c r="N15" s="1">
        <f>L15+E15</f>
        <v>299</v>
      </c>
      <c r="O15" s="1">
        <f t="shared" si="1"/>
        <v>49.833333333333336</v>
      </c>
    </row>
    <row r="16" spans="1:15">
      <c r="A16" s="23" t="s">
        <v>65</v>
      </c>
      <c r="B16" s="23"/>
      <c r="C16" s="23"/>
      <c r="D16" s="23"/>
      <c r="E16" s="23"/>
    </row>
    <row r="17" spans="1:15">
      <c r="A17" s="22" t="s">
        <v>66</v>
      </c>
      <c r="B17" s="22"/>
      <c r="C17" s="22"/>
      <c r="D17" s="22"/>
      <c r="E17" s="22"/>
    </row>
    <row r="19" spans="1:15">
      <c r="A19" s="22" t="s">
        <v>80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>
      <c r="A20" s="1" t="s">
        <v>0</v>
      </c>
      <c r="B20" s="1" t="s">
        <v>39</v>
      </c>
      <c r="C20" s="1" t="s">
        <v>40</v>
      </c>
      <c r="D20" s="1" t="s">
        <v>67</v>
      </c>
      <c r="E20" s="1" t="s">
        <v>41</v>
      </c>
      <c r="F20" s="1" t="s">
        <v>68</v>
      </c>
      <c r="G20" s="1" t="s">
        <v>69</v>
      </c>
      <c r="H20" s="1" t="s">
        <v>45</v>
      </c>
      <c r="I20" s="1" t="s">
        <v>78</v>
      </c>
      <c r="J20" s="1"/>
      <c r="K20" s="1"/>
      <c r="L20" s="1" t="s">
        <v>36</v>
      </c>
      <c r="M20" s="1" t="s">
        <v>33</v>
      </c>
      <c r="N20" s="1" t="s">
        <v>49</v>
      </c>
      <c r="O20" s="1" t="s">
        <v>33</v>
      </c>
    </row>
    <row r="21" spans="1:15">
      <c r="A21" s="1">
        <v>1</v>
      </c>
      <c r="B21" s="1" t="s">
        <v>70</v>
      </c>
      <c r="C21" s="1">
        <v>87</v>
      </c>
      <c r="D21" s="1">
        <v>86</v>
      </c>
      <c r="E21" s="1">
        <v>85</v>
      </c>
      <c r="F21" s="1">
        <v>93</v>
      </c>
      <c r="G21" s="1">
        <v>98</v>
      </c>
      <c r="H21" s="1">
        <v>82</v>
      </c>
      <c r="I21" s="1" t="s">
        <v>51</v>
      </c>
      <c r="J21" s="1"/>
      <c r="K21" s="1"/>
      <c r="L21" s="1">
        <f>C21+D21+E21+F21+G21</f>
        <v>449</v>
      </c>
      <c r="M21" s="1">
        <f>L21/5</f>
        <v>89.8</v>
      </c>
      <c r="N21" s="1">
        <f>L21+H21</f>
        <v>531</v>
      </c>
      <c r="O21" s="1">
        <f>N21/6</f>
        <v>88.5</v>
      </c>
    </row>
    <row r="22" spans="1:15">
      <c r="A22" s="1">
        <v>2</v>
      </c>
      <c r="B22" s="1" t="s">
        <v>71</v>
      </c>
      <c r="C22" s="1">
        <v>82</v>
      </c>
      <c r="D22" s="1">
        <v>95</v>
      </c>
      <c r="E22" s="1">
        <v>77</v>
      </c>
      <c r="F22" s="1">
        <v>92</v>
      </c>
      <c r="G22" s="1">
        <v>85</v>
      </c>
      <c r="H22" s="1">
        <v>84</v>
      </c>
      <c r="I22" s="1" t="s">
        <v>51</v>
      </c>
      <c r="J22" s="1"/>
      <c r="K22" s="1"/>
      <c r="L22" s="1">
        <f>C22+D22+F22+G22+H22</f>
        <v>438</v>
      </c>
      <c r="M22" s="1">
        <f t="shared" ref="M22:M28" si="2">L22/5</f>
        <v>87.6</v>
      </c>
      <c r="N22" s="1">
        <f>L22+E22</f>
        <v>515</v>
      </c>
      <c r="O22" s="1">
        <f t="shared" ref="O22:O28" si="3">N22/6</f>
        <v>85.833333333333329</v>
      </c>
    </row>
    <row r="23" spans="1:15">
      <c r="A23" s="1">
        <v>3</v>
      </c>
      <c r="B23" s="1" t="s">
        <v>72</v>
      </c>
      <c r="C23" s="1">
        <v>44</v>
      </c>
      <c r="D23" s="1">
        <v>42</v>
      </c>
      <c r="E23" s="1" t="s">
        <v>51</v>
      </c>
      <c r="F23" s="1">
        <v>29</v>
      </c>
      <c r="G23" s="1">
        <v>45</v>
      </c>
      <c r="H23" s="1">
        <v>50</v>
      </c>
      <c r="I23" s="1">
        <v>51</v>
      </c>
      <c r="J23" s="1"/>
      <c r="K23" s="1"/>
      <c r="L23" s="1">
        <f>C23+D23+G23+H23+I23</f>
        <v>232</v>
      </c>
      <c r="M23" s="1">
        <f t="shared" si="2"/>
        <v>46.4</v>
      </c>
      <c r="N23" s="1">
        <f>L23+F23</f>
        <v>261</v>
      </c>
      <c r="O23" s="1">
        <f t="shared" si="3"/>
        <v>43.5</v>
      </c>
    </row>
    <row r="24" spans="1:15">
      <c r="A24" s="1">
        <v>4</v>
      </c>
      <c r="B24" s="1" t="s">
        <v>73</v>
      </c>
      <c r="C24" s="1">
        <v>63</v>
      </c>
      <c r="D24" s="1">
        <v>83</v>
      </c>
      <c r="E24" s="1" t="s">
        <v>51</v>
      </c>
      <c r="F24" s="1">
        <v>70</v>
      </c>
      <c r="G24" s="1">
        <v>49</v>
      </c>
      <c r="H24" s="1">
        <v>70</v>
      </c>
      <c r="I24" s="1">
        <v>76</v>
      </c>
      <c r="J24" s="1"/>
      <c r="K24" s="1"/>
      <c r="L24" s="1">
        <f>C24+D24+F24+H24+I24</f>
        <v>362</v>
      </c>
      <c r="M24" s="1">
        <f t="shared" si="2"/>
        <v>72.400000000000006</v>
      </c>
      <c r="N24" s="1">
        <f>L24+G24</f>
        <v>411</v>
      </c>
      <c r="O24" s="1">
        <f t="shared" si="3"/>
        <v>68.5</v>
      </c>
    </row>
    <row r="25" spans="1:15">
      <c r="A25" s="1">
        <v>5</v>
      </c>
      <c r="B25" s="1" t="s">
        <v>74</v>
      </c>
      <c r="C25" s="1">
        <v>92</v>
      </c>
      <c r="D25" s="1">
        <v>80</v>
      </c>
      <c r="E25" s="1">
        <v>56</v>
      </c>
      <c r="F25" s="1">
        <v>69</v>
      </c>
      <c r="G25" s="1">
        <v>57</v>
      </c>
      <c r="H25" s="1">
        <v>74</v>
      </c>
      <c r="I25" s="1" t="s">
        <v>51</v>
      </c>
      <c r="J25" s="1"/>
      <c r="K25" s="1"/>
      <c r="L25" s="1">
        <f>C25+D25+F25+G25+H25</f>
        <v>372</v>
      </c>
      <c r="M25" s="1">
        <f t="shared" si="2"/>
        <v>74.400000000000006</v>
      </c>
      <c r="N25" s="1">
        <f>L25+E25</f>
        <v>428</v>
      </c>
      <c r="O25" s="1">
        <f t="shared" si="3"/>
        <v>71.333333333333329</v>
      </c>
    </row>
    <row r="26" spans="1:15">
      <c r="A26" s="1">
        <v>6</v>
      </c>
      <c r="B26" s="1" t="s">
        <v>75</v>
      </c>
      <c r="C26" s="1">
        <v>71</v>
      </c>
      <c r="D26" s="1">
        <v>85</v>
      </c>
      <c r="E26" s="1">
        <v>42</v>
      </c>
      <c r="F26" s="1">
        <v>49</v>
      </c>
      <c r="G26" s="1">
        <v>45</v>
      </c>
      <c r="H26" s="1">
        <v>66</v>
      </c>
      <c r="I26" s="1" t="s">
        <v>51</v>
      </c>
      <c r="J26" s="1"/>
      <c r="K26" s="1"/>
      <c r="L26" s="1">
        <f>C27+D27+E27+H27+I27</f>
        <v>268</v>
      </c>
      <c r="M26" s="1">
        <f t="shared" si="2"/>
        <v>53.6</v>
      </c>
      <c r="N26" s="1">
        <f>L26+F26</f>
        <v>317</v>
      </c>
      <c r="O26" s="1">
        <f t="shared" si="3"/>
        <v>52.833333333333336</v>
      </c>
    </row>
    <row r="27" spans="1:15">
      <c r="A27" s="1">
        <v>7</v>
      </c>
      <c r="B27" s="1" t="s">
        <v>76</v>
      </c>
      <c r="C27" s="1">
        <v>57</v>
      </c>
      <c r="D27" s="1">
        <v>49</v>
      </c>
      <c r="E27" s="1">
        <v>45</v>
      </c>
      <c r="F27" s="1">
        <v>45</v>
      </c>
      <c r="G27" s="1" t="s">
        <v>51</v>
      </c>
      <c r="H27" s="1">
        <v>52</v>
      </c>
      <c r="I27" s="1">
        <v>65</v>
      </c>
      <c r="J27" s="1"/>
      <c r="K27" s="1"/>
      <c r="L27" s="1">
        <f>C27+D27+E27+H27+I27</f>
        <v>268</v>
      </c>
      <c r="M27" s="1">
        <f t="shared" si="2"/>
        <v>53.6</v>
      </c>
      <c r="N27" s="1">
        <f>L27+F27</f>
        <v>313</v>
      </c>
      <c r="O27" s="1">
        <f t="shared" si="3"/>
        <v>52.166666666666664</v>
      </c>
    </row>
    <row r="28" spans="1:15">
      <c r="A28" s="1">
        <v>8</v>
      </c>
      <c r="B28" s="1" t="s">
        <v>77</v>
      </c>
      <c r="C28" s="1">
        <v>67</v>
      </c>
      <c r="D28" s="1">
        <v>45</v>
      </c>
      <c r="E28" s="1" t="s">
        <v>51</v>
      </c>
      <c r="F28" s="1">
        <v>46</v>
      </c>
      <c r="G28" s="1">
        <v>54</v>
      </c>
      <c r="H28" s="1">
        <v>59</v>
      </c>
      <c r="I28" s="1">
        <v>73</v>
      </c>
      <c r="J28" s="1"/>
      <c r="K28" s="1"/>
      <c r="L28" s="1">
        <f>C28+F28+G28+H28+I28</f>
        <v>299</v>
      </c>
      <c r="M28" s="1">
        <f t="shared" si="2"/>
        <v>59.8</v>
      </c>
      <c r="N28" s="1">
        <f>L28+D28</f>
        <v>344</v>
      </c>
      <c r="O28" s="1">
        <f t="shared" si="3"/>
        <v>57.333333333333336</v>
      </c>
    </row>
    <row r="29" spans="1:15">
      <c r="B29" s="24" t="s">
        <v>79</v>
      </c>
    </row>
  </sheetData>
  <mergeCells count="4">
    <mergeCell ref="A16:E16"/>
    <mergeCell ref="A17:E17"/>
    <mergeCell ref="A19:O19"/>
    <mergeCell ref="A1:O1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</vt:lpstr>
      <vt:lpstr>XII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2025-05-14T05:55:54Z</dcterms:modified>
</cp:coreProperties>
</file>